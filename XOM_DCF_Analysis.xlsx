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- Assumptions" sheetId="1" state="visible" r:id="rId3"/>
    <sheet name="2 - Calculations" sheetId="2" state="visible" r:id="rId4"/>
    <sheet name="3 - Scenario Analysis" sheetId="3" state="visible" r:id="rId5"/>
    <sheet name="4 -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<sst xmlns="http://schemas.openxmlformats.org/spreadsheetml/2006/main" count="207" uniqueCount="194">
  <si>
    <t xml:space="preserve">ECON 134A  |  ExxonMobil (XOM) DCF Analysis  |  Assumptions</t>
  </si>
  <si>
    <t xml:space="preserve">COMPANY OVERVIEW</t>
  </si>
  <si>
    <t xml:space="preserve">Company</t>
  </si>
  <si>
    <t xml:space="preserve">ExxonMobil Corporation</t>
  </si>
  <si>
    <t xml:space="preserve">Ticker</t>
  </si>
  <si>
    <t xml:space="preserve">XOM (NYSE)</t>
  </si>
  <si>
    <t xml:space="preserve">Fiscal Year End</t>
  </si>
  <si>
    <t xml:space="preserve">December 31</t>
  </si>
  <si>
    <t xml:space="preserve">Analysis Date</t>
  </si>
  <si>
    <t xml:space="preserve">March 2026</t>
  </si>
  <si>
    <t xml:space="preserve">Currency</t>
  </si>
  <si>
    <t xml:space="preserve">USD (billions unless noted)</t>
  </si>
  <si>
    <t xml:space="preserve">MARKET DATA (AS OF MARCH 2026)</t>
  </si>
  <si>
    <t xml:space="preserve">Share Price</t>
  </si>
  <si>
    <t xml:space="preserve">Source: Yahoo Finance, March 17, 2026</t>
  </si>
  <si>
    <t xml:space="preserve">Shares Outstanding (B)</t>
  </si>
  <si>
    <t xml:space="preserve">Source: XOM 10-K FY2025, SEC EDGAR</t>
  </si>
  <si>
    <t xml:space="preserve">Market Capitalization ($B)</t>
  </si>
  <si>
    <t xml:space="preserve">Calc: Share Price x Shares Outstanding</t>
  </si>
  <si>
    <t xml:space="preserve">52-Week Range</t>
  </si>
  <si>
    <t xml:space="preserve">$95.77 – $126.34</t>
  </si>
  <si>
    <t xml:space="preserve">Source: MarketWatch, March 2026</t>
  </si>
  <si>
    <t xml:space="preserve">CAPITAL STRUCTURE</t>
  </si>
  <si>
    <t xml:space="preserve">Short-Term Debt ($B)</t>
  </si>
  <si>
    <t xml:space="preserve">Source: XOM 10-K FY2025, Balance Sheet</t>
  </si>
  <si>
    <t xml:space="preserve">Long-Term Debt ($B)</t>
  </si>
  <si>
    <t xml:space="preserve">Total Debt ($B)</t>
  </si>
  <si>
    <t xml:space="preserve">Cash &amp; Cash Equivalents ($B)</t>
  </si>
  <si>
    <t xml:space="preserve">Net Debt ($B)</t>
  </si>
  <si>
    <t xml:space="preserve">Calc: Total Debt minus Cash</t>
  </si>
  <si>
    <t xml:space="preserve">Interest Expense ($B)</t>
  </si>
  <si>
    <t xml:space="preserve">Source: XOM 10-K FY2025, Income Statement</t>
  </si>
  <si>
    <t xml:space="preserve">WACC INPUTS</t>
  </si>
  <si>
    <t xml:space="preserve">Risk-Free Rate (10Y UST Yield)</t>
  </si>
  <si>
    <t xml:space="preserve">Source: US Treasury, March 2026</t>
  </si>
  <si>
    <t xml:space="preserve">Beta (5-Year Monthly vs S&amp;P 500)</t>
  </si>
  <si>
    <t xml:space="preserve">Source: Yahoo Finance, March 2026. Lower beta reflects oil as inflation hedge</t>
  </si>
  <si>
    <t xml:space="preserve">Equity Risk Premium</t>
  </si>
  <si>
    <t xml:space="preserve">Source: Damodaran (NYU Stern), January 2026</t>
  </si>
  <si>
    <t xml:space="preserve">Cost of Equity — Low (CAPM)</t>
  </si>
  <si>
    <t xml:space="preserve">Calc: Rf + Beta x ERP = 4.31% + 0.35 x 4.46% = Low estimate. Source: Damodaran implied ERP Jan 2026</t>
  </si>
  <si>
    <t xml:space="preserve">Cost of Equity — High (CAPM)</t>
  </si>
  <si>
    <t xml:space="preserve">Calc: Rf + Beta x ERP_high = 4.31% + 0.84 x 6%. Source: investing.com</t>
  </si>
  <si>
    <t xml:space="preserve">Cost of Equity — Average (used in WACC)</t>
  </si>
  <si>
    <t xml:space="preserve">Average of Low (Damodaran) and High (investing.com) </t>
  </si>
  <si>
    <t xml:space="preserve">Cost of Debt (pre-tax)</t>
  </si>
  <si>
    <t xml:space="preserve">Source: XOM 10-K FY2024, Income Statement / Balance Sheet</t>
  </si>
  <si>
    <t xml:space="preserve">Effective Tax Rate (3-yr avg)</t>
  </si>
  <si>
    <t xml:space="preserve">Formula: =AVERAGE of (Income Tax Exp / EBT) for FY2022-FY2024. See derivation table below. Source: XOM 10-K FY2022, FY2023, FY2024</t>
  </si>
  <si>
    <t xml:space="preserve">After-Tax Cost of Debt</t>
  </si>
  <si>
    <t xml:space="preserve">Calc: Pre-Tax Cost of Debt x (1 minus Tax Rate)</t>
  </si>
  <si>
    <t xml:space="preserve">Weight of Equity (Mkt Value)</t>
  </si>
  <si>
    <t xml:space="preserve">Calc: Market Cap divided by (Market Cap + Total Debt)</t>
  </si>
  <si>
    <t xml:space="preserve">Weight of Debt</t>
  </si>
  <si>
    <t xml:space="preserve">Calc: 1 minus Weight of Equity</t>
  </si>
  <si>
    <t xml:space="preserve">WACC</t>
  </si>
  <si>
    <t xml:space="preserve">Calc: We x Ke_midpoint + Wd x Kd_after_tax</t>
  </si>
  <si>
    <t xml:space="preserve">FCF GROWTH RATE — ANALYST REASONING</t>
  </si>
  <si>
    <t xml:space="preserve">ANALYST NOTE: We do NOT use average of the past 5 years of FCF. The 2021 FCF reflects COVID demand destruction (Brent avg $70 → $42 in 2020). The 2022 FCF reflects a one-time Russia/Ukraine supply shock (Brent avg $100). And A normalized FCF uses a mid-cycle oil price of $70–75/bbl. We also add ~$3B/yr in Pioneer acquisition synergies (cost savings + Permian volume uplift) phasing in over FY2025–2027. FCF growth of 5% is conservative relative to the 7–9% production CAGR XOM has guided for through 2030, reflecting execution risk and our $72/bbl base-case oil price.</t>
  </si>
  <si>
    <t xml:space="preserve">Base-Case FCF (FY2024 normalized, $B)</t>
  </si>
  <si>
    <t xml:space="preserve">Source: XOM 10-K FY2025.</t>
  </si>
  <si>
    <t xml:space="preserve">FCF Growth Rate — Years 1</t>
  </si>
  <si>
    <t xml:space="preserve">Derived: avg of (C7-E7)/C7 and (C7-F7)/C7 = avg(11.02%, 36.37%) = 23.70%. C7=FY2022 Russia shock peak ($36.1B), E7=FY2024 ($32.1B), F7=FY2025 ($23.0B). Sources: XOM 10-K FY2022, FY2024, FY2025.</t>
  </si>
  <si>
    <t xml:space="preserve">FCF Growth Rate — Years 2-5</t>
  </si>
  <si>
    <t xml:space="preserve">Used recent trend of FCFs after past Russian shock and averaged them with cyclical trends in mind.</t>
  </si>
  <si>
    <t xml:space="preserve">Terminal Growth Rate</t>
  </si>
  <si>
    <t xml:space="preserve">Source: WallStreetPrep (2.0–3.5% range for large-cap energy). 2.5% reflects long-run nominal GDP growth, offset by energy-transition headwinds.</t>
  </si>
  <si>
    <t xml:space="preserve">Base-Case Oil Price ($/bbl, Brent)</t>
  </si>
  <si>
    <t xml:space="preserve">Source: EIA Short-Term Energy Outlook, March 2026. Mid-cycle assumption.</t>
  </si>
  <si>
    <t xml:space="preserve">  Yellow cells = key assumptions (change to run scenarios)</t>
  </si>
  <si>
    <t xml:space="preserve">TAX RATE DERIVATION (per rubric: Income Tax Expense / EBT)</t>
  </si>
  <si>
    <t xml:space="preserve">FY2025</t>
  </si>
  <si>
    <t xml:space="preserve">Income Tax Expense ($B)</t>
  </si>
  <si>
    <t xml:space="preserve">Earnings Before Tax ($B)</t>
  </si>
  <si>
    <t xml:space="preserve">Effective Tax Rate</t>
  </si>
  <si>
    <t xml:space="preserve">Average Effective Tax Rate (FY2022–2024)</t>
  </si>
  <si>
    <t xml:space="preserve">Used as normalized tax rate in WACC calculation</t>
  </si>
  <si>
    <t xml:space="preserve">ECON 134A  |  ExxonMobil (XOM) DCF Analysis  |  Calculations</t>
  </si>
  <si>
    <t xml:space="preserve">SECTION 1: HISTORICAL FREE CASH FLOW ANALYSIS ($B)</t>
  </si>
  <si>
    <t xml:space="preserve">FY2021</t>
  </si>
  <si>
    <t xml:space="preserve">FY2022</t>
  </si>
  <si>
    <t xml:space="preserve">FY2023</t>
  </si>
  <si>
    <t xml:space="preserve">FY2024</t>
  </si>
  <si>
    <t xml:space="preserve">Operating Cash Flow ($B)</t>
  </si>
  <si>
    <t xml:space="preserve">Source: XOM 10-K / MacroTrends.net — FCF = OCF - Net Capex</t>
  </si>
  <si>
    <t xml:space="preserve">Capital Expenditures ($B)</t>
  </si>
  <si>
    <t xml:space="preserve">Free Cash Flow ($B)</t>
  </si>
  <si>
    <t xml:space="preserve">Brent Crude Avg ($/bbl)</t>
  </si>
  <si>
    <t xml:space="preserve">Adjusted FCF Notes</t>
  </si>
  <si>
    <t xml:space="preserve">Low: commodity cycle trough</t>
  </si>
  <si>
    <t xml:space="preserve">High: Russia/Ukraine shock</t>
  </si>
  <si>
    <t xml:space="preserve">Normalizing</t>
  </si>
  <si>
    <t xml:space="preserve">Normalized base</t>
  </si>
  <si>
    <t xml:space="preserve">YoY FCF Growth (%)</t>
  </si>
  <si>
    <t xml:space="preserve">n/a</t>
  </si>
  <si>
    <t xml:space="preserve">5-Year Simple Average FCF ($B)</t>
  </si>
  <si>
    <t xml:space="preserve">     FCF Normalization: 5-year simple average ($B) = $27.1B — NOT used as base. Instead, FY2022 $36.1B is used as it best reflects current cost structure and events (Iran War). However future FCFs should be estimated to normalize to 2023 and 2024 numbers, hence the negativity.</t>
  </si>
  <si>
    <t xml:space="preserve">SECTION 2: 5-YEAR DCF PROJECTION</t>
  </si>
  <si>
    <t xml:space="preserve">Year 1
(FY2025)</t>
  </si>
  <si>
    <t xml:space="preserve">Year 2
(FY2026)</t>
  </si>
  <si>
    <t xml:space="preserve">Year 3
(FY2027)</t>
  </si>
  <si>
    <t xml:space="preserve">Year 4
(FY2028)</t>
  </si>
  <si>
    <t xml:space="preserve">Year 5
(FY2029)</t>
  </si>
  <si>
    <t xml:space="preserve">Notes</t>
  </si>
  <si>
    <t xml:space="preserve">FCF Growth Rate (%)</t>
  </si>
  <si>
    <t xml:space="preserve">Links to Assumptions!B41</t>
  </si>
  <si>
    <t xml:space="preserve">Projected FCF ($B)</t>
  </si>
  <si>
    <t xml:space="preserve">Base × (1 + growth rate)^n</t>
  </si>
  <si>
    <t xml:space="preserve">Discount Factor [1/(1+WACC)^t]</t>
  </si>
  <si>
    <t xml:space="preserve">WACC from Assumptions!B34</t>
  </si>
  <si>
    <t xml:space="preserve">Present Value of FCF ($B)</t>
  </si>
  <si>
    <t xml:space="preserve">Source: = Projected FCF × Discount Factor</t>
  </si>
  <si>
    <t xml:space="preserve">Sum of PV (FCF) ($B)</t>
  </si>
  <si>
    <t xml:space="preserve">SECTION 3: TERMINAL VALUE CALCULATION</t>
  </si>
  <si>
    <t xml:space="preserve">Terminal FCF (Year 5 × (1+TGR)) ($B)</t>
  </si>
  <si>
    <t xml:space="preserve">Terminal Value (Gordon Growth) ($B)</t>
  </si>
  <si>
    <t xml:space="preserve">Source: Discount TV back 5 years at WACC</t>
  </si>
  <si>
    <t xml:space="preserve">PV of Terminal Value ($B)</t>
  </si>
  <si>
    <t xml:space="preserve">SECTION 4: ENTERPRISE VALUE → EQUITY VALUE → INTRINSIC PRICE</t>
  </si>
  <si>
    <t xml:space="preserve">Enterprise Value ($B)</t>
  </si>
  <si>
    <t xml:space="preserve">Calc: Sum of PV(FCF) + PV(Terminal Value)</t>
  </si>
  <si>
    <t xml:space="preserve">Less: Net Debt ($B)</t>
  </si>
  <si>
    <t xml:space="preserve">Links to Assumptions!B22</t>
  </si>
  <si>
    <t xml:space="preserve">Equity Value ($B)</t>
  </si>
  <si>
    <t xml:space="preserve">INTRINSIC SHARE PRICE</t>
  </si>
  <si>
    <t xml:space="preserve">Current Market Price</t>
  </si>
  <si>
    <t xml:space="preserve">Upside / (Downside)</t>
  </si>
  <si>
    <t xml:space="preserve">ECON 134A  |  ExxonMobil (XOM)  |  Scenario &amp; Sensitivity Analysis</t>
  </si>
  <si>
    <t xml:space="preserve">SCENARIO ANALYSIS — BEAR / BASE / BULL</t>
  </si>
  <si>
    <t xml:space="preserve">Assumption</t>
  </si>
  <si>
    <t xml:space="preserve">Bear Case</t>
  </si>
  <si>
    <t xml:space="preserve">Base Case</t>
  </si>
  <si>
    <t xml:space="preserve">Bull Case</t>
  </si>
  <si>
    <t xml:space="preserve">Bear</t>
  </si>
  <si>
    <t xml:space="preserve">Bull</t>
  </si>
  <si>
    <t xml:space="preserve">Oil Price ($/bbl, Brent)</t>
  </si>
  <si>
    <t xml:space="preserve">FCF Growth Rate (Yrs 1–5)</t>
  </si>
  <si>
    <t xml:space="preserve">Normalized Base FCF ($B)</t>
  </si>
  <si>
    <t xml:space="preserve">Probability Weight</t>
  </si>
  <si>
    <t xml:space="preserve">DERIVED INTRINSIC PRICES</t>
  </si>
  <si>
    <t xml:space="preserve">Intrinsic Share Price</t>
  </si>
  <si>
    <t xml:space="preserve">Calculated via full DCF at scenario assumptions (see Calculations tab)</t>
  </si>
  <si>
    <t xml:space="preserve">Probability-Weighted Intrinsic Value</t>
  </si>
  <si>
    <t xml:space="preserve">Market Price</t>
  </si>
  <si>
    <t xml:space="preserve">SCENARIO DISCUSSION</t>
  </si>
  <si>
    <t xml:space="preserve">The base case (50% probability) is the most likely outcome. It assumes stable oil prices around $72/bbl — consistent with the EIA's March 2026 Short-Term Energy Outlook — modest FCF growth of 5%, and a WACC of 5.75%, yielding an intrinsic value of $255.95. The bear case (25% probability) reflects a severe demand contraction driven by accelerated energy transition adoption and a global recession, compressing FCF growth to -15% annually from an already-depressed FY2025 base of $8.1B and pushing WACC to 13.5% as investors reprice energy sector risk. Under these conditions equity value is nearly fully consumed by net debt ($32.9B), producing a near-zero intrinsic price — a tail risk but not implausible given XOM's leverage at depressed earnings. The bull case (25% probability) assumes a sustained Iran-related supply shock driving Brent above $95/bbl, with FCF growth of 30% from the FY2022 Russia-shock peak base of $36.1B and a lower WACC of 8.0% reflecting renewed energy sector appetite, yielding $555.40. The probability-weighted intrinsic value of $266.89 implies significant upside to the current market price of $158.81 even after accounting for downside tail risk. Sources: EIA STEO March 2026; Damodaran ERP January 2026; XOM 10-K FY2025.</t>
  </si>
  <si>
    <t xml:space="preserve">SENSITIVITY TABLE — INTRINSIC PRICE ($) BY WACC × TERMINAL GROWTH RATE</t>
  </si>
  <si>
    <t xml:space="preserve">WACC \ TGR →</t>
  </si>
  <si>
    <t xml:space="preserve">Green = above market ($158.81). Red = below. Yellow = base case (WACC 5.75%, TGR 2.5%). FCF growth fixed at 5%, base FCF $32.122B.</t>
  </si>
  <si>
    <t xml:space="preserve">SENSITIVITY ANALYSIS — KEY FINDINGS</t>
  </si>
  <si>
    <t xml:space="preserve">The sensitivity analysis reveals that WACC is by far the most powerful driver of intrinsic value in this model. Moving WACC from the base case of 5.75% up to just 8% reduces the intrinsic price from $227.92 to $136.86 — a 40% swing — holding all else constant. This is a direct consequence of XOM's large terminal value ($698.6B, or ~82% of enterprise value): because the Gordon Growth model applies the discount rate in perpetuity, even small changes in WACC compound dramatically. The terminal growth rate is the second most sensitive variable; at a fixed WACC of 5.75%, moving TGR from 1.0% to 3.5% adds roughly $170 to the intrinsic price. FCF growth rate in Years 1-5 has the least impact by comparison, since those cash flows represent only ~18% of total enterprise value. This asymmetry underscores a key limitation of DCF for mature energy companies: the valuation is highly sensitive to long-run assumptions (WACC and TGR) that are inherently difficult to forecast, meaning the model output should be treated as a range rather than a point estimate.</t>
  </si>
  <si>
    <t xml:space="preserve">ECON 134A  |  ExxonMobil (XOM)  |  Executive Summary</t>
  </si>
  <si>
    <t xml:space="preserve">INVESTMENT THESIS</t>
  </si>
  <si>
    <t xml:space="preserve">MEMORANDUM</t>
  </si>
  <si>
    <t xml:space="preserve">TO:</t>
  </si>
  <si>
    <t xml:space="preserve">Professor — ECON 134A</t>
  </si>
  <si>
    <t xml:space="preserve">FROM:</t>
  </si>
  <si>
    <t xml:space="preserve">Joseph Wallace</t>
  </si>
  <si>
    <t xml:space="preserve">DATE:</t>
  </si>
  <si>
    <t xml:space="preserve">March 17, 2026</t>
  </si>
  <si>
    <t xml:space="preserve">RE:</t>
  </si>
  <si>
    <t xml:space="preserve">ExxonMobil (XOM) DCF Valuation — Key Assumptions &amp; Findings</t>
  </si>
  <si>
    <t xml:space="preserve">KEY ASSUMPTIONS &amp; RATIONALE</t>
  </si>
  <si>
    <t xml:space="preserve">WACC (5.75%): XOM's cost of capital reflects its unusually low beta of 0.35 (Yahoo Finance, March 2026), which captures the company's role as an inflation hedge — oil stocks historically outperform during inflationary periods that depress broader equity markets. Combined with Damodaran's January 2026 implied US ERP of 4.46%, this yields a Cost of Equity midpoint of 6.05% (low: 5.87% using Damodaran ERP; high: 6.24% using investing.com's 6.0% figure). The after-tax Cost of Debt is just 1.0%, reflecting XOM's investment-grade balance sheet and low effective interest rate of 1.4% on $43.5B of total debt. The resulting WACC of 5.75% is low relative to historical energy sector averages, but is defensible given the beta data and current risk-free rate of 4.31% (10-Year UST, March 2026).
FCF Growth Rate (Year 1: +23.70%, Years 2–5: −10%/yr): Rather than mechanically extrapolating past FCF, Year 1 growth was derived analytically. The Russia/Ukraine supply shock of FY2022 produced a FCF peak of $36.1B. The percentage deviation of both FY2024 ($32.1B) and FY2025 ($23.0B) from that peak — computed as (FY2022−FY2024)/FY2022 = 11.02% and (FY2022−FY2025)/FY2022 = 36.37% — were averaged to yield 23.70%. This figure proxies the expected FCF recovery from the current Iran-related supply disruption, anchored to a comparable historical shock. Years 2–5 apply −10%/yr mean reversion, consistent with the observed post-Russia-shock FCF decline (FY2022→FY2025: approx. −10%/yr CAGR).
Terminal Growth Rate (2.5%): Per WallStreetPrep guidance for large-cap energy companies (range: 2.0%–3.5%), 2.5% was selected as the midpoint, aligning with IMF long-run nominal US GDP growth forecasts. A higher rate was not used given the structural headwinds facing fossil fuel producers from the global energy transition.</t>
  </si>
  <si>
    <t xml:space="preserve">INTRINSIC PRICE vs. MARKET PRICE</t>
  </si>
  <si>
    <t xml:space="preserve">The base-case DCF yields an intrinsic share price of $191.09 versus XOM's current market price of $158.81 (Yahoo Finance, March 17, 2026), implying a +20.3% discount to fair value. The probability-weighted intrinsic value across Bear, Base, and Bull scenarios is $266.89, though this is heavily influenced by the bull case ($555.40) which reflects an extreme supply shock scenario. Even anchoring conservatively to the base case alone, the stock appears meaningfully undervalued.</t>
  </si>
  <si>
    <t xml:space="preserve">WHAT EXPLAINS THE DISCREPANCY?</t>
  </si>
  <si>
    <t xml:space="preserve">Several factors likely explain why the market is pricing XOM below our intrinsic estimate. First, the market may be applying a higher implicit WACC than our model — if investors demand a 7–8% cost of equity (reflecting greater energy transition risk), the sensitivity table shows intrinsic value falls to $127–$137, much closer to the current price. Second, our Year 1 FCF growth assumption of +23.70% is contingent on the Iran supply disruption materializing at the scale of the Russia/Ukraine shock, which is not guaranteed — the market may be assigning lower probability to this outcome. Third, XOM's capital expenditure has risen sharply ($29.0B in FY2025 vs. $19.3B in FY2023), which compresses near-term free cash flow and may be causing the market to apply a lower near-term FCF multiple. Finally, structural ESG-driven divestment from fossil fuel stocks continues to weigh on energy sector valuations independent of fundamentals, creating a persistent discount that DCF models do not capture. In aggregate, the model suggests XOM is undervalued, but the margin of safety is sensitive to WACC and Year 1 FCF assumptions.</t>
  </si>
  <si>
    <t xml:space="preserve">ExxonMobil (XOM) appears undervalued at its current market price of $158.81. Our base-case DCF yields an intrinsic share price of $191.09, implying +20.3% upside. The model applies a WACC of 5.75%, reflecting XOM's low beta of 0.35 (Yahoo Finance, March 2026) and Damodaran's January 2026 implied ERP of 4.46%. Year 1 FCF growth of 23.70% is derived from historical shock analysis: the average of (FY2022 peak − FY2024) / FY2022 and (FY2022 peak − FY2025) / FY2022, reflecting the magnitude of the Iran-related supply disruption relative to the Russia/Ukraine shock. Years 2–5 apply −10%/yr mean reversion, consistent with XOM's post-shock FCF trajectory. Terminal growth of 2.5% aligns with long-run nominal GDP expectations (WallStreetPrep). Key upside: Permian Basin growth and Pioneer synergies. Key risks: energy transition pressure and oil normalization below $60/bbl. Probability-weighted intrinsic value: $266.89 (25% Bear / 50% Base / 25% Bull). VERDICT: Overweight, $191 price target.</t>
  </si>
  <si>
    <t xml:space="preserve">KEY OUTPUT SUMMARY</t>
  </si>
  <si>
    <t xml:space="preserve">Ke (mid) = 8.19%,  Kd (after-tax) = 2.62%,  We = 93.3%,  Wd = 6.7%</t>
  </si>
  <si>
    <t xml:space="preserve">Sum of PV (FCF)</t>
  </si>
  <si>
    <t xml:space="preserve">Year 1: 23.70% (derived from shock analysis), Years 2–5: −10%/yr</t>
  </si>
  <si>
    <t xml:space="preserve">PV of Terminal Value</t>
  </si>
  <si>
    <t xml:space="preserve">Enterprise Value</t>
  </si>
  <si>
    <t xml:space="preserve">Sum of PV(FCF) + PV(Terminal Value)</t>
  </si>
  <si>
    <t xml:space="preserve">Net Debt</t>
  </si>
  <si>
    <t xml:space="preserve">Total Debt $33.0B – Cash $18.2B</t>
  </si>
  <si>
    <t xml:space="preserve">Equity Value</t>
  </si>
  <si>
    <t xml:space="preserve">Enterprise Value minus Net Debt</t>
  </si>
  <si>
    <t xml:space="preserve">BASE CASE — Equity Value / Shares Outstanding</t>
  </si>
  <si>
    <t xml:space="preserve">NYSE: XOM as of March 2026 (MarketWatch)</t>
  </si>
  <si>
    <t xml:space="preserve">Intrinsic Price vs. Current Market Price</t>
  </si>
  <si>
    <t xml:space="preserve">Prob.-Weighted Value</t>
  </si>
  <si>
    <t xml:space="preserve">0.25 × Bear ($0.24) + 0.50 × Base ($255.95) + 0.25 × Bull ($555.40)</t>
  </si>
  <si>
    <t xml:space="preserve">SOURCES</t>
  </si>
  <si>
    <t xml:space="preserve">• XOM 10-K FY2025 — SEC EDGAR (Balance Sheet, Income Statement, Cash Flow Statement)</t>
  </si>
  <si>
    <t xml:space="preserve">• MarketWatch — Share price, shares outstanding, beta (March 2026)</t>
  </si>
  <si>
    <t xml:space="preserve">• US Treasury — 10-Year yield, March 2026 (4.31%)</t>
  </si>
  <si>
    <t xml:space="preserve">• Damodaran (NYU Stern) — US Equity Risk Premium, January 2026 update (5.0%)</t>
  </si>
  <si>
    <t xml:space="preserve">• EIA Short-Term Energy Outlook — March 2026 Brent crude forecast ($72/bbl base)</t>
  </si>
  <si>
    <t xml:space="preserve">• WallStreetPrep — Terminal growth rate guidance for large-cap energy (2.0–3.5%)</t>
  </si>
  <si>
    <t xml:space="preserve">• ExxonMobil Investor Day 2024 — Production growth guidance, Pioneer synergy targets</t>
  </si>
  <si>
    <t xml:space="preserve">• Seeking Alpha / Bloomberg consensus — Analyst FCF estimates for FY2025–FY2026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</si>
</sst>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.00"/>
    <numFmt numFmtId="166" formatCode="#,##0.000"/>
    <numFmt numFmtId="167" formatCode="\$#,##0.0"/>
    <numFmt numFmtId="168" formatCode="0.00%"/>
    <numFmt numFmtId="169" formatCode="0.00"/>
    <numFmt numFmtId="170" formatCode="0.0%"/>
    <numFmt numFmtId="171" formatCode="\$#,##0"/>
    <numFmt numFmtId="172" formatCode="\$#,##0.0;&quot;($&quot;#,##0.0\);\-"/>
    <numFmt numFmtId="173" formatCode="0.0%;\(0.0%\)"/>
    <numFmt numFmtId="174" formatCode="\$#,##0.000"/>
    <numFmt numFmtId="175" formatCode="0.0000"/>
    <numFmt numFmtId="176" formatCode="#,##0.00"/>
    <numFmt numFmtId="177" formatCode="0.000%"/>
    <numFmt numFmtId="178" formatCode="0%"/>
    <numFmt numFmtId="179" formatCode="\$#,##0.0\B"/>
  </numFmts>
  <fonts count="2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u val="single"/>
      <sz val="11"/>
      <color theme="1"/>
      <name val="Calibri"/>
      <family val="0"/>
      <charset val="1"/>
    </font>
    <font>
      <b val="true"/>
      <sz val="10"/>
      <color rgb="FFC55A11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444444"/>
      <name val="Arial"/>
      <family val="0"/>
      <charset val="1"/>
    </font>
    <font>
      <i val="true"/>
      <sz val="8"/>
      <color rgb="FF444444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12"/>
      <color rgb="FF444444"/>
      <name val="Arial"/>
      <family val="0"/>
      <charset val="1"/>
    </font>
    <font>
      <b val="true"/>
      <sz val="13"/>
      <color rgb="FFC55A11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C55A11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10"/>
      <name val="Arial"/>
      <family val="0"/>
      <charset val="1"/>
    </font>
    <font>
      <sz val="9"/>
      <color rgb="FF444444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253B59"/>
        <bgColor rgb="FF1F3864"/>
      </patternFill>
    </fill>
    <fill>
      <patternFill patternType="solid">
        <fgColor rgb="FFF2F2F2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C8E6C9"/>
      </patternFill>
    </fill>
    <fill>
      <patternFill patternType="solid">
        <fgColor rgb="FFF3F3F3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E0E0"/>
        <bgColor rgb="FFFFCDD2"/>
      </patternFill>
    </fill>
    <fill>
      <patternFill patternType="solid">
        <fgColor rgb="FFE2EFDA"/>
        <bgColor rgb="FFF2F2F2"/>
      </patternFill>
    </fill>
    <fill>
      <patternFill patternType="solid">
        <fgColor rgb="FF2E4057"/>
        <bgColor rgb="FF253B59"/>
      </patternFill>
    </fill>
    <fill>
      <patternFill patternType="solid">
        <fgColor rgb="FFC8E6C9"/>
        <bgColor rgb="FFD9D9D9"/>
      </patternFill>
    </fill>
    <fill>
      <patternFill patternType="solid">
        <fgColor rgb="FFFFCDD2"/>
        <bgColor rgb="FFFFE0E0"/>
      </patternFill>
    </fill>
    <fill>
      <patternFill patternType="solid">
        <fgColor rgb="FF1F3864"/>
        <bgColor rgb="FF253B5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0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2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2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2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22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2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2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9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375623"/>
      <rgbColor rgb="FF800080"/>
      <rgbColor rgb="FF008080"/>
      <rgbColor rgb="FFC8E6C9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E2EFDA"/>
      <rgbColor rgb="FFFFE0E0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C55A11"/>
      <rgbColor rgb="FF666666"/>
      <rgbColor rgb="FF969696"/>
      <rgbColor rgb="FF1F3864"/>
      <rgbColor rgb="FF339966"/>
      <rgbColor rgb="FF111111"/>
      <rgbColor rgb="FF444444"/>
      <rgbColor rgb="FF993300"/>
      <rgbColor rgb="FF993366"/>
      <rgbColor rgb="FF253B5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investing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15.43"/>
    <col collapsed="false" customWidth="true" hidden="false" outlineLevel="0" max="5" min="5" style="1" width="12"/>
    <col collapsed="false" customWidth="true" hidden="false" outlineLevel="0" max="26" min="6" style="1" width="8.71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/>
    <row r="3" customFormat="false" ht="18" hidden="false" customHeight="true" outlineLevel="0" collapsed="false">
      <c r="A3" s="3" t="s">
        <v>1</v>
      </c>
      <c r="B3" s="3"/>
      <c r="C3" s="3"/>
      <c r="D3" s="3"/>
      <c r="E3" s="3"/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5" t="s">
        <v>5</v>
      </c>
    </row>
    <row r="6" customFormat="false" ht="15" hidden="false" customHeight="true" outlineLevel="0" collapsed="false">
      <c r="A6" s="4" t="s">
        <v>6</v>
      </c>
      <c r="B6" s="5" t="s">
        <v>7</v>
      </c>
    </row>
    <row r="7" customFormat="false" ht="15" hidden="false" customHeight="true" outlineLevel="0" collapsed="false">
      <c r="A7" s="4" t="s">
        <v>8</v>
      </c>
      <c r="B7" s="5" t="s">
        <v>9</v>
      </c>
    </row>
    <row r="8" customFormat="false" ht="15" hidden="false" customHeight="true" outlineLevel="0" collapsed="false">
      <c r="A8" s="4" t="s">
        <v>10</v>
      </c>
      <c r="B8" s="5" t="s">
        <v>11</v>
      </c>
    </row>
    <row r="9" customFormat="false" ht="15" hidden="false" customHeight="true" outlineLevel="0" collapsed="false"/>
    <row r="10" customFormat="false" ht="18" hidden="false" customHeight="true" outlineLevel="0" collapsed="false">
      <c r="A10" s="3" t="s">
        <v>12</v>
      </c>
      <c r="B10" s="3"/>
      <c r="C10" s="3"/>
      <c r="D10" s="3"/>
      <c r="E10" s="3"/>
    </row>
    <row r="11" customFormat="false" ht="15" hidden="false" customHeight="true" outlineLevel="0" collapsed="false">
      <c r="A11" s="4" t="s">
        <v>13</v>
      </c>
      <c r="B11" s="6" t="n">
        <v>158.81</v>
      </c>
      <c r="D11" s="7" t="s">
        <v>14</v>
      </c>
    </row>
    <row r="12" customFormat="false" ht="15" hidden="false" customHeight="true" outlineLevel="0" collapsed="false">
      <c r="A12" s="4" t="s">
        <v>15</v>
      </c>
      <c r="B12" s="8" t="n">
        <v>4.305</v>
      </c>
      <c r="D12" s="7" t="s">
        <v>16</v>
      </c>
    </row>
    <row r="13" customFormat="false" ht="15" hidden="false" customHeight="true" outlineLevel="0" collapsed="false">
      <c r="A13" s="4" t="s">
        <v>17</v>
      </c>
      <c r="B13" s="9" t="n">
        <f aca="false">B11*B12</f>
        <v>683.67705</v>
      </c>
      <c r="D13" s="7" t="s">
        <v>18</v>
      </c>
    </row>
    <row r="14" customFormat="false" ht="15" hidden="false" customHeight="true" outlineLevel="0" collapsed="false">
      <c r="A14" s="4" t="s">
        <v>19</v>
      </c>
      <c r="B14" s="10" t="s">
        <v>20</v>
      </c>
      <c r="D14" s="7" t="s">
        <v>21</v>
      </c>
    </row>
    <row r="15" customFormat="false" ht="15" hidden="false" customHeight="true" outlineLevel="0" collapsed="false"/>
    <row r="16" customFormat="false" ht="18" hidden="false" customHeight="true" outlineLevel="0" collapsed="false">
      <c r="A16" s="3" t="s">
        <v>22</v>
      </c>
      <c r="B16" s="3"/>
      <c r="C16" s="3"/>
      <c r="D16" s="3"/>
      <c r="E16" s="3"/>
    </row>
    <row r="17" customFormat="false" ht="15" hidden="false" customHeight="true" outlineLevel="0" collapsed="false">
      <c r="A17" s="4" t="s">
        <v>23</v>
      </c>
      <c r="B17" s="11" t="n">
        <v>9.296</v>
      </c>
      <c r="D17" s="7" t="s">
        <v>24</v>
      </c>
    </row>
    <row r="18" customFormat="false" ht="15" hidden="false" customHeight="true" outlineLevel="0" collapsed="false">
      <c r="A18" s="4" t="s">
        <v>25</v>
      </c>
      <c r="B18" s="11" t="n">
        <v>34.241</v>
      </c>
      <c r="D18" s="7" t="s">
        <v>24</v>
      </c>
    </row>
    <row r="19" customFormat="false" ht="15" hidden="false" customHeight="true" outlineLevel="0" collapsed="false">
      <c r="A19" s="4" t="s">
        <v>26</v>
      </c>
      <c r="B19" s="9" t="n">
        <f aca="false">B17+B18</f>
        <v>43.537</v>
      </c>
      <c r="D19" s="7" t="s">
        <v>24</v>
      </c>
    </row>
    <row r="20" customFormat="false" ht="15" hidden="false" customHeight="true" outlineLevel="0" collapsed="false">
      <c r="A20" s="4" t="s">
        <v>27</v>
      </c>
      <c r="B20" s="11" t="n">
        <v>10.681</v>
      </c>
      <c r="D20" s="7" t="s">
        <v>24</v>
      </c>
    </row>
    <row r="21" customFormat="false" ht="15" hidden="false" customHeight="true" outlineLevel="0" collapsed="false">
      <c r="A21" s="4" t="s">
        <v>28</v>
      </c>
      <c r="B21" s="9" t="n">
        <f aca="false">B19-B20</f>
        <v>32.856</v>
      </c>
      <c r="D21" s="7" t="s">
        <v>29</v>
      </c>
    </row>
    <row r="22" customFormat="false" ht="15" hidden="false" customHeight="true" outlineLevel="0" collapsed="false">
      <c r="A22" s="4" t="s">
        <v>30</v>
      </c>
      <c r="B22" s="6" t="n">
        <v>0.603</v>
      </c>
      <c r="D22" s="7" t="s">
        <v>31</v>
      </c>
    </row>
    <row r="23" customFormat="false" ht="15.75" hidden="false" customHeight="true" outlineLevel="0" collapsed="false"/>
    <row r="24" customFormat="false" ht="18" hidden="false" customHeight="true" outlineLevel="0" collapsed="false">
      <c r="A24" s="3" t="s">
        <v>32</v>
      </c>
      <c r="B24" s="3"/>
      <c r="C24" s="3"/>
      <c r="D24" s="3"/>
      <c r="E24" s="3"/>
    </row>
    <row r="25" customFormat="false" ht="15" hidden="false" customHeight="true" outlineLevel="0" collapsed="false">
      <c r="A25" s="4" t="s">
        <v>33</v>
      </c>
      <c r="B25" s="12" t="n">
        <v>0.0431</v>
      </c>
      <c r="D25" s="7" t="s">
        <v>34</v>
      </c>
    </row>
    <row r="26" customFormat="false" ht="18.75" hidden="false" customHeight="true" outlineLevel="0" collapsed="false">
      <c r="A26" s="4" t="s">
        <v>35</v>
      </c>
      <c r="B26" s="13" t="n">
        <v>0.35</v>
      </c>
      <c r="D26" s="7" t="s">
        <v>36</v>
      </c>
    </row>
    <row r="27" customFormat="false" ht="15" hidden="false" customHeight="true" outlineLevel="0" collapsed="false">
      <c r="A27" s="4" t="s">
        <v>37</v>
      </c>
      <c r="B27" s="12" t="n">
        <v>0.0446</v>
      </c>
      <c r="D27" s="7" t="s">
        <v>38</v>
      </c>
    </row>
    <row r="28" customFormat="false" ht="15" hidden="false" customHeight="true" outlineLevel="0" collapsed="false">
      <c r="A28" s="4" t="s">
        <v>39</v>
      </c>
      <c r="B28" s="14" t="n">
        <f aca="false">B25+B26*B27</f>
        <v>0.05871</v>
      </c>
      <c r="D28" s="7" t="s">
        <v>40</v>
      </c>
    </row>
    <row r="29" customFormat="false" ht="15" hidden="false" customHeight="true" outlineLevel="0" collapsed="false">
      <c r="A29" s="1" t="s">
        <v>41</v>
      </c>
      <c r="B29" s="14" t="n">
        <f aca="false">B25+B26*0.055</f>
        <v>0.06235</v>
      </c>
      <c r="D29" s="15" t="s">
        <v>42</v>
      </c>
    </row>
    <row r="30" customFormat="false" ht="18.75" hidden="false" customHeight="true" outlineLevel="0" collapsed="false">
      <c r="A30" s="1" t="s">
        <v>43</v>
      </c>
      <c r="B30" s="16" t="n">
        <f aca="false">(B28+B29)/2</f>
        <v>0.06053</v>
      </c>
      <c r="D30" s="1" t="s">
        <v>44</v>
      </c>
    </row>
    <row r="31" customFormat="false" ht="15" hidden="false" customHeight="true" outlineLevel="0" collapsed="false">
      <c r="A31" s="4" t="s">
        <v>45</v>
      </c>
      <c r="B31" s="14" t="n">
        <f aca="false">B22/B19</f>
        <v>0.01385028826056</v>
      </c>
      <c r="D31" s="7" t="s">
        <v>46</v>
      </c>
    </row>
    <row r="32" customFormat="false" ht="15" hidden="false" customHeight="true" outlineLevel="0" collapsed="false">
      <c r="A32" s="4" t="s">
        <v>47</v>
      </c>
      <c r="B32" s="17" t="n">
        <f aca="false">B55</f>
        <v>0.278763206358438</v>
      </c>
      <c r="D32" s="7" t="s">
        <v>48</v>
      </c>
    </row>
    <row r="33" customFormat="false" ht="15" hidden="false" customHeight="true" outlineLevel="0" collapsed="false">
      <c r="A33" s="4" t="s">
        <v>49</v>
      </c>
      <c r="B33" s="18" t="n">
        <f aca="false">B31*(1-B32)</f>
        <v>0.00998933749605766</v>
      </c>
      <c r="D33" s="7" t="s">
        <v>50</v>
      </c>
    </row>
    <row r="34" customFormat="false" ht="15" hidden="false" customHeight="true" outlineLevel="0" collapsed="false">
      <c r="A34" s="4" t="s">
        <v>51</v>
      </c>
      <c r="B34" s="19" t="n">
        <f aca="false">B13/(B13+B19)</f>
        <v>0.940131794758366</v>
      </c>
      <c r="D34" s="7" t="s">
        <v>52</v>
      </c>
    </row>
    <row r="35" customFormat="false" ht="15" hidden="false" customHeight="true" outlineLevel="0" collapsed="false">
      <c r="A35" s="4" t="s">
        <v>53</v>
      </c>
      <c r="B35" s="20" t="n">
        <f aca="false">1-B34</f>
        <v>0.0598682052416342</v>
      </c>
      <c r="D35" s="7" t="s">
        <v>54</v>
      </c>
    </row>
    <row r="36" customFormat="false" ht="18" hidden="false" customHeight="true" outlineLevel="0" collapsed="false">
      <c r="A36" s="21" t="s">
        <v>55</v>
      </c>
      <c r="B36" s="22" t="n">
        <f aca="false">B34*B30+B35*B33</f>
        <v>0.0575042212441658</v>
      </c>
      <c r="D36" s="1" t="s">
        <v>56</v>
      </c>
    </row>
    <row r="37" customFormat="false" ht="72" hidden="false" customHeight="true" outlineLevel="0" collapsed="false">
      <c r="A37" s="23"/>
      <c r="B37" s="23"/>
      <c r="C37" s="23"/>
      <c r="D37" s="23"/>
    </row>
    <row r="38" customFormat="false" ht="15" hidden="false" customHeight="true" outlineLevel="0" collapsed="false">
      <c r="A38" s="24" t="s">
        <v>57</v>
      </c>
    </row>
    <row r="39" customFormat="false" ht="91.5" hidden="false" customHeight="true" outlineLevel="0" collapsed="false">
      <c r="A39" s="25" t="s">
        <v>58</v>
      </c>
      <c r="B39" s="25"/>
      <c r="C39" s="25"/>
    </row>
    <row r="40" customFormat="false" ht="10.5" hidden="false" customHeight="true" outlineLevel="0" collapsed="false"/>
    <row r="41" customFormat="false" ht="27.75" hidden="false" customHeight="true" outlineLevel="0" collapsed="false">
      <c r="A41" s="4" t="s">
        <v>59</v>
      </c>
      <c r="B41" s="26" t="n">
        <v>36.1</v>
      </c>
      <c r="D41" s="7" t="s">
        <v>60</v>
      </c>
    </row>
    <row r="42" customFormat="false" ht="18.75" hidden="false" customHeight="true" outlineLevel="0" collapsed="false">
      <c r="A42" s="4" t="s">
        <v>61</v>
      </c>
      <c r="B42" s="27" t="n">
        <v>0.236952908587258</v>
      </c>
      <c r="D42" s="28" t="s">
        <v>62</v>
      </c>
    </row>
    <row r="43" customFormat="false" ht="18.75" hidden="false" customHeight="true" outlineLevel="0" collapsed="false">
      <c r="A43" s="4" t="s">
        <v>63</v>
      </c>
      <c r="B43" s="29" t="n">
        <v>-0.1</v>
      </c>
      <c r="D43" s="7" t="s">
        <v>64</v>
      </c>
    </row>
    <row r="44" customFormat="false" ht="27.75" hidden="false" customHeight="true" outlineLevel="0" collapsed="false">
      <c r="A44" s="4" t="s">
        <v>65</v>
      </c>
      <c r="B44" s="29" t="n">
        <v>0.025</v>
      </c>
      <c r="D44" s="7" t="s">
        <v>66</v>
      </c>
    </row>
    <row r="45" customFormat="false" ht="15" hidden="false" customHeight="true" outlineLevel="0" collapsed="false">
      <c r="A45" s="4" t="s">
        <v>67</v>
      </c>
      <c r="B45" s="30" t="n">
        <v>72</v>
      </c>
      <c r="D45" s="7" t="s">
        <v>68</v>
      </c>
    </row>
    <row r="46" customFormat="false" ht="15.75" hidden="false" customHeight="true" outlineLevel="0" collapsed="false"/>
    <row r="47" customFormat="false" ht="15" hidden="false" customHeight="true" outlineLevel="0" collapsed="false">
      <c r="A47" s="31" t="s">
        <v>69</v>
      </c>
      <c r="B47" s="31"/>
      <c r="C47" s="31"/>
      <c r="D47" s="31"/>
    </row>
    <row r="48" customFormat="false" ht="15" hidden="false" customHeight="true" outlineLevel="0" collapsed="false"/>
    <row r="49" customFormat="false" ht="15" hidden="false" customHeight="true" outlineLevel="0" collapsed="false">
      <c r="A49" s="32" t="s">
        <v>70</v>
      </c>
    </row>
    <row r="50" customFormat="false" ht="15" hidden="false" customHeight="true" outlineLevel="0" collapsed="false">
      <c r="A50" s="33"/>
      <c r="B50" s="33" t="s">
        <v>71</v>
      </c>
      <c r="C50" s="33"/>
      <c r="D50" s="33"/>
    </row>
    <row r="51" customFormat="false" ht="15" hidden="false" customHeight="true" outlineLevel="0" collapsed="false">
      <c r="A51" s="34" t="s">
        <v>72</v>
      </c>
      <c r="B51" s="35" t="n">
        <v>11.504</v>
      </c>
      <c r="C51" s="36" t="s">
        <v>60</v>
      </c>
      <c r="D51" s="35"/>
    </row>
    <row r="52" customFormat="false" ht="15" hidden="false" customHeight="true" outlineLevel="0" collapsed="false">
      <c r="A52" s="34" t="s">
        <v>73</v>
      </c>
      <c r="B52" s="35" t="n">
        <v>41.268</v>
      </c>
      <c r="C52" s="35"/>
      <c r="D52" s="35"/>
    </row>
    <row r="53" customFormat="false" ht="15" hidden="false" customHeight="true" outlineLevel="0" collapsed="false">
      <c r="A53" s="34" t="s">
        <v>74</v>
      </c>
      <c r="B53" s="37" t="n">
        <f aca="false">B51/B52</f>
        <v>0.278763206358438</v>
      </c>
      <c r="C53" s="37"/>
      <c r="D53" s="37"/>
    </row>
    <row r="54" customFormat="false" ht="15.75" hidden="false" customHeight="true" outlineLevel="0" collapsed="false"/>
    <row r="55" customFormat="false" ht="15" hidden="false" customHeight="true" outlineLevel="0" collapsed="false">
      <c r="A55" s="38" t="s">
        <v>75</v>
      </c>
      <c r="B55" s="39" t="n">
        <f aca="false">AVERAGE(B53:D53)</f>
        <v>0.278763206358438</v>
      </c>
      <c r="C55" s="40" t="s">
        <v>76</v>
      </c>
    </row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mergeCells count="8">
    <mergeCell ref="A1:E1"/>
    <mergeCell ref="A3:E3"/>
    <mergeCell ref="A10:E10"/>
    <mergeCell ref="A16:E16"/>
    <mergeCell ref="A24:E24"/>
    <mergeCell ref="A37:D37"/>
    <mergeCell ref="A39:C39"/>
    <mergeCell ref="A47:D47"/>
  </mergeCells>
  <hyperlinks>
    <hyperlink ref="D29" r:id="rId1" display="Calc: Rf + Beta x ERP_high = 4.31% + 0.84 x 6%. Source: investing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68.29"/>
    <col collapsed="false" customWidth="true" hidden="false" outlineLevel="0" max="7" min="2" style="1" width="13"/>
    <col collapsed="false" customWidth="true" hidden="false" outlineLevel="0" max="8" min="8" style="1" width="33"/>
    <col collapsed="false" customWidth="true" hidden="false" outlineLevel="0" max="26" min="9" style="1" width="8.71"/>
  </cols>
  <sheetData>
    <row r="1" customFormat="false" ht="27.75" hidden="false" customHeight="true" outlineLevel="0" collapsed="false">
      <c r="A1" s="2" t="s">
        <v>77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/>
    <row r="3" customFormat="false" ht="18" hidden="false" customHeight="true" outlineLevel="0" collapsed="false">
      <c r="A3" s="3" t="s">
        <v>78</v>
      </c>
      <c r="B3" s="3"/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A4" s="33"/>
      <c r="B4" s="33" t="s">
        <v>79</v>
      </c>
      <c r="C4" s="33" t="s">
        <v>80</v>
      </c>
      <c r="D4" s="33" t="s">
        <v>81</v>
      </c>
      <c r="E4" s="33" t="s">
        <v>82</v>
      </c>
      <c r="F4" s="33" t="s">
        <v>71</v>
      </c>
    </row>
    <row r="5" customFormat="false" ht="15" hidden="false" customHeight="true" outlineLevel="0" collapsed="false">
      <c r="A5" s="41" t="s">
        <v>83</v>
      </c>
      <c r="B5" s="35" t="n">
        <v>28.4</v>
      </c>
      <c r="C5" s="35" t="n">
        <v>59</v>
      </c>
      <c r="D5" s="35" t="n">
        <v>55.4</v>
      </c>
      <c r="E5" s="35" t="n">
        <v>55.022</v>
      </c>
      <c r="F5" s="35" t="n">
        <v>51.97</v>
      </c>
      <c r="G5" s="42" t="s">
        <v>84</v>
      </c>
    </row>
    <row r="6" customFormat="false" ht="15" hidden="false" customHeight="true" outlineLevel="0" collapsed="false">
      <c r="A6" s="41" t="s">
        <v>85</v>
      </c>
      <c r="B6" s="35" t="n">
        <v>20.3</v>
      </c>
      <c r="C6" s="35" t="n">
        <v>22.9</v>
      </c>
      <c r="D6" s="35" t="n">
        <v>19.3</v>
      </c>
      <c r="E6" s="35" t="n">
        <v>22.9</v>
      </c>
      <c r="F6" s="35" t="n">
        <v>29</v>
      </c>
    </row>
    <row r="7" customFormat="false" ht="15" hidden="false" customHeight="true" outlineLevel="0" collapsed="false">
      <c r="A7" s="41" t="s">
        <v>86</v>
      </c>
      <c r="B7" s="43" t="n">
        <f aca="false">B5-B6</f>
        <v>8.1</v>
      </c>
      <c r="C7" s="43" t="n">
        <f aca="false">C5-C6</f>
        <v>36.1</v>
      </c>
      <c r="D7" s="43" t="n">
        <f aca="false">D5-D6</f>
        <v>36.1</v>
      </c>
      <c r="E7" s="43" t="n">
        <f aca="false">E5-E6</f>
        <v>32.122</v>
      </c>
      <c r="F7" s="43" t="n">
        <f aca="false">F5-F6</f>
        <v>22.97</v>
      </c>
    </row>
    <row r="8" customFormat="false" ht="15" hidden="false" customHeight="true" outlineLevel="0" collapsed="false">
      <c r="A8" s="41" t="s">
        <v>87</v>
      </c>
      <c r="B8" s="44" t="n">
        <v>70.9</v>
      </c>
      <c r="C8" s="44" t="n">
        <v>100.9</v>
      </c>
      <c r="D8" s="44" t="n">
        <v>82.6</v>
      </c>
      <c r="E8" s="44" t="n">
        <v>80</v>
      </c>
      <c r="F8" s="44" t="n">
        <v>70</v>
      </c>
    </row>
    <row r="9" customFormat="false" ht="15" hidden="false" customHeight="true" outlineLevel="0" collapsed="false">
      <c r="A9" s="41" t="s">
        <v>88</v>
      </c>
      <c r="B9" s="45" t="s">
        <v>89</v>
      </c>
      <c r="C9" s="45" t="s">
        <v>90</v>
      </c>
      <c r="D9" s="45" t="s">
        <v>91</v>
      </c>
      <c r="E9" s="45" t="s">
        <v>92</v>
      </c>
      <c r="F9" s="45" t="s">
        <v>89</v>
      </c>
    </row>
    <row r="10" customFormat="false" ht="15" hidden="false" customHeight="true" outlineLevel="0" collapsed="false">
      <c r="A10" s="46" t="s">
        <v>93</v>
      </c>
      <c r="B10" s="47" t="s">
        <v>94</v>
      </c>
      <c r="C10" s="48" t="n">
        <f aca="false">(C7-B7)/ABS(B7)</f>
        <v>3.45679012345679</v>
      </c>
      <c r="D10" s="48" t="n">
        <f aca="false">(D7-C7)/ABS(C7)</f>
        <v>0</v>
      </c>
      <c r="E10" s="48" t="n">
        <f aca="false">(E7-D7)/ABS(D7)</f>
        <v>-0.110193905817174</v>
      </c>
      <c r="F10" s="48" t="n">
        <f aca="false">(F7-E7)/ABS(E7)</f>
        <v>-0.284913766266111</v>
      </c>
    </row>
    <row r="11" customFormat="false" ht="51.75" hidden="false" customHeight="true" outlineLevel="0" collapsed="false">
      <c r="A11" s="46" t="s">
        <v>95</v>
      </c>
      <c r="B11" s="49" t="n">
        <f aca="false">AVERAGE(B7:F7)</f>
        <v>27.0784</v>
      </c>
      <c r="C11" s="23"/>
      <c r="D11" s="23"/>
      <c r="E11" s="23"/>
      <c r="F11" s="23"/>
      <c r="G11" s="23"/>
      <c r="H11" s="23"/>
    </row>
    <row r="12" customFormat="false" ht="15" hidden="false" customHeight="true" outlineLevel="0" collapsed="false">
      <c r="A12" s="50"/>
    </row>
    <row r="13" customFormat="false" ht="46.5" hidden="false" customHeight="true" outlineLevel="0" collapsed="false">
      <c r="A13" s="51" t="s">
        <v>96</v>
      </c>
      <c r="B13" s="51"/>
      <c r="C13" s="51"/>
      <c r="D13" s="51"/>
      <c r="E13" s="51"/>
      <c r="F13" s="51"/>
      <c r="G13" s="51"/>
      <c r="H13" s="51"/>
    </row>
    <row r="14" customFormat="false" ht="6.75" hidden="false" customHeight="true" outlineLevel="0" collapsed="false"/>
    <row r="15" customFormat="false" ht="15" hidden="false" customHeight="true" outlineLevel="0" collapsed="false">
      <c r="A15" s="24" t="s">
        <v>97</v>
      </c>
    </row>
    <row r="16" customFormat="false" ht="15" hidden="false" customHeight="true" outlineLevel="0" collapsed="false">
      <c r="A16" s="52"/>
      <c r="B16" s="52" t="s">
        <v>98</v>
      </c>
      <c r="C16" s="52" t="s">
        <v>99</v>
      </c>
      <c r="D16" s="52" t="s">
        <v>100</v>
      </c>
      <c r="E16" s="52" t="s">
        <v>101</v>
      </c>
      <c r="F16" s="52" t="s">
        <v>102</v>
      </c>
      <c r="G16" s="52"/>
      <c r="H16" s="52" t="s">
        <v>103</v>
      </c>
    </row>
    <row r="17" customFormat="false" ht="15" hidden="false" customHeight="true" outlineLevel="0" collapsed="false">
      <c r="A17" s="41" t="s">
        <v>104</v>
      </c>
      <c r="B17" s="53" t="n">
        <v>0.236952908587258</v>
      </c>
      <c r="C17" s="54" t="n">
        <f aca="false">'1 - Assumptions'!$B$43</f>
        <v>-0.1</v>
      </c>
      <c r="D17" s="54" t="n">
        <f aca="false">'1 - Assumptions'!$B$43</f>
        <v>-0.1</v>
      </c>
      <c r="E17" s="54" t="n">
        <f aca="false">'1 - Assumptions'!$B$43</f>
        <v>-0.1</v>
      </c>
      <c r="F17" s="54" t="n">
        <f aca="false">'1 - Assumptions'!$B$43</f>
        <v>-0.1</v>
      </c>
      <c r="H17" s="7" t="s">
        <v>105</v>
      </c>
    </row>
    <row r="18" customFormat="false" ht="15" hidden="false" customHeight="true" outlineLevel="0" collapsed="false">
      <c r="A18" s="41" t="s">
        <v>106</v>
      </c>
      <c r="B18" s="55" t="n">
        <v>44.654</v>
      </c>
      <c r="C18" s="55" t="n">
        <v>40.1886</v>
      </c>
      <c r="D18" s="55" t="n">
        <v>36.16974</v>
      </c>
      <c r="E18" s="55" t="n">
        <v>32.552766</v>
      </c>
      <c r="F18" s="55" t="n">
        <v>29.2974894</v>
      </c>
      <c r="G18" s="56"/>
      <c r="H18" s="7" t="s">
        <v>107</v>
      </c>
    </row>
    <row r="19" customFormat="false" ht="15" hidden="false" customHeight="true" outlineLevel="0" collapsed="false">
      <c r="A19" s="41" t="s">
        <v>108</v>
      </c>
      <c r="B19" s="57" t="n">
        <v>0.945622702883803</v>
      </c>
      <c r="C19" s="57" t="n">
        <v>0.894202296209269</v>
      </c>
      <c r="D19" s="57" t="n">
        <v>0.845577992266312</v>
      </c>
      <c r="E19" s="57" t="n">
        <v>0.799597746545929</v>
      </c>
      <c r="F19" s="57" t="n">
        <v>0.75611778230856</v>
      </c>
      <c r="H19" s="7" t="s">
        <v>109</v>
      </c>
    </row>
    <row r="20" customFormat="false" ht="15" hidden="false" customHeight="true" outlineLevel="0" collapsed="false">
      <c r="A20" s="41" t="s">
        <v>110</v>
      </c>
      <c r="B20" s="55" t="n">
        <v>42.225836175</v>
      </c>
      <c r="C20" s="55" t="n">
        <v>35.936738401</v>
      </c>
      <c r="D20" s="55" t="n">
        <v>30.58433613</v>
      </c>
      <c r="E20" s="55" t="n">
        <v>26.029118337</v>
      </c>
      <c r="F20" s="55" t="n">
        <v>22.152352712</v>
      </c>
      <c r="H20" s="7" t="s">
        <v>111</v>
      </c>
    </row>
    <row r="21" customFormat="false" ht="18" hidden="false" customHeight="true" outlineLevel="0" collapsed="false">
      <c r="A21" s="58" t="s">
        <v>112</v>
      </c>
      <c r="B21" s="59" t="n">
        <v>156.928381756</v>
      </c>
    </row>
    <row r="22" customFormat="false" ht="15" hidden="false" customHeight="true" outlineLevel="0" collapsed="false"/>
    <row r="23" customFormat="false" ht="15" hidden="false" customHeight="true" outlineLevel="0" collapsed="false">
      <c r="A23" s="24" t="s">
        <v>113</v>
      </c>
    </row>
    <row r="24" customFormat="false" ht="30" hidden="false" customHeight="true" outlineLevel="0" collapsed="false">
      <c r="A24" s="60" t="s">
        <v>114</v>
      </c>
      <c r="B24" s="55" t="n">
        <v>30.029926635</v>
      </c>
    </row>
    <row r="25" customFormat="false" ht="27.75" hidden="false" customHeight="true" outlineLevel="0" collapsed="false">
      <c r="A25" s="41" t="s">
        <v>115</v>
      </c>
      <c r="B25" s="55" t="n">
        <v>923.877745394</v>
      </c>
      <c r="D25" s="7" t="s">
        <v>116</v>
      </c>
    </row>
    <row r="26" customFormat="false" ht="18" hidden="false" customHeight="true" outlineLevel="0" collapsed="false">
      <c r="A26" s="41" t="s">
        <v>117</v>
      </c>
      <c r="B26" s="61" t="n">
        <v>698.560391972</v>
      </c>
    </row>
    <row r="27" customFormat="false" ht="15" hidden="false" customHeight="true" outlineLevel="0" collapsed="false"/>
    <row r="28" customFormat="false" ht="18.75" hidden="false" customHeight="true" outlineLevel="0" collapsed="false">
      <c r="A28" s="24" t="s">
        <v>118</v>
      </c>
    </row>
    <row r="29" customFormat="false" ht="15" hidden="false" customHeight="true" outlineLevel="0" collapsed="false">
      <c r="A29" s="58" t="s">
        <v>119</v>
      </c>
      <c r="B29" s="59" t="n">
        <v>855.488773727</v>
      </c>
      <c r="D29" s="36" t="s">
        <v>120</v>
      </c>
    </row>
    <row r="30" customFormat="false" ht="15" hidden="false" customHeight="true" outlineLevel="0" collapsed="false">
      <c r="A30" s="41" t="s">
        <v>121</v>
      </c>
      <c r="B30" s="62" t="n">
        <f aca="false">'1 - Assumptions'!B21</f>
        <v>32.856</v>
      </c>
      <c r="D30" s="36" t="s">
        <v>122</v>
      </c>
    </row>
    <row r="31" customFormat="false" ht="15.75" hidden="false" customHeight="true" outlineLevel="0" collapsed="false">
      <c r="A31" s="58" t="s">
        <v>123</v>
      </c>
      <c r="B31" s="59" t="n">
        <v>822.632773727</v>
      </c>
    </row>
    <row r="32" customFormat="false" ht="15" hidden="false" customHeight="true" outlineLevel="0" collapsed="false">
      <c r="A32" s="41" t="s">
        <v>15</v>
      </c>
      <c r="B32" s="63" t="n">
        <f aca="false">'1 - Assumptions'!B12</f>
        <v>4.305</v>
      </c>
    </row>
    <row r="33" customFormat="false" ht="15" hidden="false" customHeight="true" outlineLevel="0" collapsed="false">
      <c r="A33" s="58" t="s">
        <v>124</v>
      </c>
      <c r="B33" s="64" t="n">
        <v>191.087752318</v>
      </c>
    </row>
    <row r="34" customFormat="false" ht="15" hidden="false" customHeight="true" outlineLevel="0" collapsed="false">
      <c r="A34" s="41" t="s">
        <v>125</v>
      </c>
      <c r="B34" s="62" t="n">
        <f aca="false">'1 - Assumptions'!B11</f>
        <v>158.81</v>
      </c>
    </row>
    <row r="35" customFormat="false" ht="15" hidden="false" customHeight="true" outlineLevel="0" collapsed="false">
      <c r="A35" s="58" t="s">
        <v>126</v>
      </c>
      <c r="B35" s="65" t="n">
        <v>0.203247606</v>
      </c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A1:H1"/>
    <mergeCell ref="A3:H3"/>
    <mergeCell ref="C11:H11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7" min="2" style="1" width="16"/>
    <col collapsed="false" customWidth="true" hidden="false" outlineLevel="0" max="8" min="8" style="1" width="30"/>
    <col collapsed="false" customWidth="true" hidden="false" outlineLevel="0" max="26" min="9" style="1" width="8.71"/>
  </cols>
  <sheetData>
    <row r="1" customFormat="false" ht="27.75" hidden="false" customHeight="true" outlineLevel="0" collapsed="false">
      <c r="A1" s="2" t="s">
        <v>127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/>
    <row r="3" customFormat="false" ht="18" hidden="false" customHeight="true" outlineLevel="0" collapsed="false">
      <c r="A3" s="3" t="s">
        <v>128</v>
      </c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A4" s="33" t="s">
        <v>129</v>
      </c>
      <c r="B4" s="33" t="s">
        <v>130</v>
      </c>
      <c r="C4" s="33" t="s">
        <v>131</v>
      </c>
      <c r="D4" s="33" t="s">
        <v>132</v>
      </c>
      <c r="E4" s="33"/>
      <c r="F4" s="33" t="s">
        <v>133</v>
      </c>
      <c r="G4" s="33" t="s">
        <v>134</v>
      </c>
    </row>
    <row r="5" customFormat="false" ht="15" hidden="false" customHeight="true" outlineLevel="0" collapsed="false">
      <c r="A5" s="4" t="s">
        <v>135</v>
      </c>
      <c r="B5" s="66" t="n">
        <v>50</v>
      </c>
      <c r="C5" s="66" t="n">
        <v>72</v>
      </c>
      <c r="D5" s="66" t="n">
        <v>95</v>
      </c>
    </row>
    <row r="6" customFormat="false" ht="15" hidden="false" customHeight="true" outlineLevel="0" collapsed="false">
      <c r="A6" s="4" t="s">
        <v>136</v>
      </c>
      <c r="B6" s="67" t="n">
        <v>-0.15</v>
      </c>
      <c r="C6" s="67" t="n">
        <v>0.05</v>
      </c>
      <c r="D6" s="67" t="n">
        <v>0.3</v>
      </c>
    </row>
    <row r="7" customFormat="false" ht="15" hidden="false" customHeight="true" outlineLevel="0" collapsed="false">
      <c r="A7" s="4" t="s">
        <v>65</v>
      </c>
      <c r="B7" s="67" t="n">
        <v>0.01</v>
      </c>
      <c r="C7" s="67" t="n">
        <v>0.025</v>
      </c>
      <c r="D7" s="67" t="n">
        <v>0.035</v>
      </c>
    </row>
    <row r="8" customFormat="false" ht="15" hidden="false" customHeight="true" outlineLevel="0" collapsed="false">
      <c r="A8" s="4" t="s">
        <v>55</v>
      </c>
      <c r="B8" s="67" t="n">
        <v>0.135</v>
      </c>
      <c r="C8" s="68" t="n">
        <f aca="false">'1 - Assumptions'!B36</f>
        <v>0.0575042212441658</v>
      </c>
      <c r="D8" s="67" t="n">
        <v>0.08</v>
      </c>
    </row>
    <row r="9" customFormat="false" ht="15" hidden="false" customHeight="true" outlineLevel="0" collapsed="false">
      <c r="A9" s="4" t="s">
        <v>137</v>
      </c>
      <c r="B9" s="35" t="n">
        <f aca="false">'2 - Calculations'!B7</f>
        <v>8.1</v>
      </c>
      <c r="C9" s="35" t="n">
        <f aca="false">'2 - Calculations'!E7</f>
        <v>32.122</v>
      </c>
      <c r="D9" s="35" t="n">
        <f aca="false">'2 - Calculations'!C7</f>
        <v>36.1</v>
      </c>
    </row>
    <row r="10" customFormat="false" ht="15" hidden="false" customHeight="true" outlineLevel="0" collapsed="false">
      <c r="A10" s="4" t="s">
        <v>138</v>
      </c>
      <c r="B10" s="69" t="n">
        <v>0.25</v>
      </c>
      <c r="C10" s="69" t="n">
        <v>0.5</v>
      </c>
      <c r="D10" s="69" t="n">
        <v>0.25</v>
      </c>
    </row>
    <row r="11" customFormat="false" ht="15" hidden="false" customHeight="true" outlineLevel="0" collapsed="false"/>
    <row r="12" customFormat="false" ht="18" hidden="false" customHeight="true" outlineLevel="0" collapsed="false">
      <c r="A12" s="3" t="s">
        <v>139</v>
      </c>
      <c r="B12" s="3"/>
      <c r="C12" s="3"/>
      <c r="D12" s="3"/>
      <c r="E12" s="3"/>
      <c r="F12" s="3"/>
      <c r="G12" s="3"/>
    </row>
    <row r="13" customFormat="false" ht="36.75" hidden="false" customHeight="true" outlineLevel="0" collapsed="false">
      <c r="A13" s="4" t="s">
        <v>140</v>
      </c>
      <c r="B13" s="70" t="n">
        <v>0.24</v>
      </c>
      <c r="C13" s="71" t="n">
        <v>255.95</v>
      </c>
      <c r="D13" s="72" t="n">
        <v>555.4</v>
      </c>
      <c r="F13" s="7" t="s">
        <v>141</v>
      </c>
    </row>
    <row r="14" customFormat="false" ht="15" hidden="false" customHeight="true" outlineLevel="0" collapsed="false">
      <c r="B14" s="73" t="n">
        <v>-0.998495634095785</v>
      </c>
      <c r="C14" s="74" t="n">
        <v>0.611696958812185</v>
      </c>
      <c r="D14" s="75" t="n">
        <v>2.49727242035215</v>
      </c>
    </row>
    <row r="15" customFormat="false" ht="15" hidden="false" customHeight="true" outlineLevel="0" collapsed="false">
      <c r="A15" s="5" t="s">
        <v>142</v>
      </c>
      <c r="B15" s="76" t="n">
        <v>266.89</v>
      </c>
    </row>
    <row r="16" customFormat="false" ht="15" hidden="false" customHeight="true" outlineLevel="0" collapsed="false">
      <c r="A16" s="4" t="s">
        <v>143</v>
      </c>
      <c r="B16" s="77" t="n">
        <v>158.81</v>
      </c>
    </row>
    <row r="17" customFormat="false" ht="18" hidden="false" customHeight="true" outlineLevel="0" collapsed="false">
      <c r="A17" s="78" t="s">
        <v>144</v>
      </c>
      <c r="B17" s="78"/>
      <c r="C17" s="78"/>
      <c r="D17" s="78"/>
      <c r="E17" s="78"/>
      <c r="F17" s="78"/>
      <c r="G17" s="78"/>
    </row>
    <row r="18" customFormat="false" ht="129.75" hidden="false" customHeight="true" outlineLevel="0" collapsed="false">
      <c r="A18" s="79" t="s">
        <v>145</v>
      </c>
      <c r="B18" s="79"/>
      <c r="C18" s="79"/>
      <c r="D18" s="79"/>
      <c r="E18" s="79"/>
      <c r="F18" s="79"/>
      <c r="G18" s="79"/>
      <c r="H18" s="79"/>
    </row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>
      <c r="A22" s="24" t="s">
        <v>146</v>
      </c>
    </row>
    <row r="23" customFormat="false" ht="15" hidden="false" customHeight="true" outlineLevel="0" collapsed="false">
      <c r="A23" s="80" t="s">
        <v>147</v>
      </c>
      <c r="B23" s="81" t="n">
        <v>0.01</v>
      </c>
      <c r="C23" s="81" t="n">
        <v>0.015</v>
      </c>
      <c r="D23" s="81" t="n">
        <v>0.02</v>
      </c>
      <c r="E23" s="81" t="n">
        <v>0.025</v>
      </c>
      <c r="F23" s="81" t="n">
        <v>0.03</v>
      </c>
      <c r="G23" s="81" t="n">
        <v>0.035</v>
      </c>
    </row>
    <row r="24" customFormat="false" ht="15" hidden="false" customHeight="true" outlineLevel="0" collapsed="false">
      <c r="A24" s="82" t="n">
        <v>0.04</v>
      </c>
      <c r="B24" s="83" t="n">
        <v>294.28</v>
      </c>
      <c r="C24" s="83" t="n">
        <v>348.55</v>
      </c>
      <c r="D24" s="83" t="n">
        <v>429.96</v>
      </c>
      <c r="E24" s="83" t="n">
        <v>565.63</v>
      </c>
      <c r="F24" s="83" t="n">
        <v>836.97</v>
      </c>
      <c r="G24" s="83" t="n">
        <v>1651.01</v>
      </c>
    </row>
    <row r="25" customFormat="false" ht="15" hidden="false" customHeight="true" outlineLevel="0" collapsed="false">
      <c r="A25" s="82" t="n">
        <v>0.05</v>
      </c>
      <c r="B25" s="83" t="n">
        <v>218.08</v>
      </c>
      <c r="C25" s="83" t="n">
        <v>246.06</v>
      </c>
      <c r="D25" s="83" t="n">
        <v>283.37</v>
      </c>
      <c r="E25" s="83" t="n">
        <v>335.6</v>
      </c>
      <c r="F25" s="83" t="n">
        <v>413.95</v>
      </c>
      <c r="G25" s="83" t="n">
        <v>544.52</v>
      </c>
    </row>
    <row r="26" customFormat="false" ht="15" hidden="false" customHeight="true" outlineLevel="0" collapsed="false">
      <c r="A26" s="82" t="n">
        <v>0.057</v>
      </c>
      <c r="B26" s="83" t="n">
        <v>184.05</v>
      </c>
      <c r="C26" s="83" t="n">
        <v>203.37</v>
      </c>
      <c r="D26" s="83" t="n">
        <v>227.92</v>
      </c>
      <c r="E26" s="84" t="n">
        <v>260.13</v>
      </c>
      <c r="F26" s="83" t="n">
        <v>304.28</v>
      </c>
      <c r="G26" s="83" t="n">
        <v>368.5</v>
      </c>
    </row>
    <row r="27" customFormat="false" ht="15" hidden="false" customHeight="true" outlineLevel="0" collapsed="false">
      <c r="A27" s="82" t="n">
        <v>0.06</v>
      </c>
      <c r="B27" s="83" t="n">
        <v>172.38</v>
      </c>
      <c r="C27" s="83" t="n">
        <v>189.14</v>
      </c>
      <c r="D27" s="83" t="n">
        <v>210.1</v>
      </c>
      <c r="E27" s="84" t="n">
        <v>237.04</v>
      </c>
      <c r="F27" s="83" t="n">
        <v>272.96</v>
      </c>
      <c r="G27" s="83" t="n">
        <v>323.24</v>
      </c>
    </row>
    <row r="28" customFormat="false" ht="15" hidden="false" customHeight="true" outlineLevel="0" collapsed="false">
      <c r="A28" s="82" t="n">
        <v>0.07</v>
      </c>
      <c r="B28" s="85" t="n">
        <v>141.93</v>
      </c>
      <c r="C28" s="85" t="n">
        <v>152.94</v>
      </c>
      <c r="D28" s="83" t="n">
        <v>166.15</v>
      </c>
      <c r="E28" s="83" t="n">
        <v>182.29</v>
      </c>
      <c r="F28" s="83" t="n">
        <v>202.47</v>
      </c>
      <c r="G28" s="83" t="n">
        <v>228.42</v>
      </c>
    </row>
    <row r="29" customFormat="false" ht="15.75" hidden="false" customHeight="true" outlineLevel="0" collapsed="false">
      <c r="A29" s="82" t="n">
        <v>0.08</v>
      </c>
      <c r="B29" s="85" t="n">
        <v>120.19</v>
      </c>
      <c r="C29" s="85" t="n">
        <v>127.89</v>
      </c>
      <c r="D29" s="85" t="n">
        <v>136.86</v>
      </c>
      <c r="E29" s="85" t="n">
        <v>147.47</v>
      </c>
      <c r="F29" s="83" t="n">
        <v>160.19</v>
      </c>
      <c r="G29" s="83" t="n">
        <v>175.75</v>
      </c>
    </row>
    <row r="30" customFormat="false" ht="36.75" hidden="false" customHeight="true" outlineLevel="0" collapsed="false">
      <c r="A30" s="82" t="n">
        <v>0.09</v>
      </c>
      <c r="B30" s="85" t="n">
        <v>103.9</v>
      </c>
      <c r="C30" s="85" t="n">
        <v>109.53</v>
      </c>
      <c r="D30" s="85" t="n">
        <v>115.95</v>
      </c>
      <c r="E30" s="85" t="n">
        <v>123.36</v>
      </c>
      <c r="F30" s="85" t="n">
        <v>132.01</v>
      </c>
      <c r="G30" s="85" t="n">
        <v>142.24</v>
      </c>
    </row>
    <row r="31" customFormat="false" ht="15.75" hidden="false" customHeight="true" outlineLevel="0" collapsed="false">
      <c r="A31" s="82" t="n">
        <v>0.1</v>
      </c>
      <c r="B31" s="85" t="n">
        <v>91.24</v>
      </c>
      <c r="C31" s="85" t="n">
        <v>95.5</v>
      </c>
      <c r="D31" s="85" t="n">
        <v>100.28</v>
      </c>
      <c r="E31" s="85" t="n">
        <v>105.7</v>
      </c>
      <c r="F31" s="85" t="n">
        <v>111.89</v>
      </c>
      <c r="G31" s="85" t="n">
        <v>119.04</v>
      </c>
    </row>
    <row r="32" customFormat="false" ht="15.75" hidden="false" customHeight="true" outlineLevel="0" collapsed="false">
      <c r="A32" s="82" t="n">
        <v>0.11</v>
      </c>
      <c r="B32" s="85" t="n">
        <v>81.12</v>
      </c>
      <c r="C32" s="85" t="n">
        <v>84.43</v>
      </c>
      <c r="D32" s="85" t="n">
        <v>88.09</v>
      </c>
      <c r="E32" s="85" t="n">
        <v>92.19</v>
      </c>
      <c r="F32" s="85" t="n">
        <v>96.81</v>
      </c>
      <c r="G32" s="85" t="n">
        <v>102.03</v>
      </c>
    </row>
    <row r="33" customFormat="false" ht="15.75" hidden="false" customHeight="true" outlineLevel="0" collapsed="false"/>
    <row r="34" customFormat="false" ht="15.75" hidden="false" customHeight="true" outlineLevel="0" collapsed="false">
      <c r="A34" s="86" t="s">
        <v>148</v>
      </c>
    </row>
    <row r="35" customFormat="false" ht="18" hidden="false" customHeight="true" outlineLevel="0" collapsed="false">
      <c r="A35" s="78" t="s">
        <v>149</v>
      </c>
      <c r="B35" s="78"/>
      <c r="C35" s="78"/>
      <c r="D35" s="78"/>
      <c r="E35" s="78"/>
      <c r="F35" s="78"/>
      <c r="G35" s="78"/>
    </row>
    <row r="36" customFormat="false" ht="129.75" hidden="false" customHeight="true" outlineLevel="0" collapsed="false">
      <c r="A36" s="79" t="s">
        <v>150</v>
      </c>
      <c r="B36" s="79"/>
      <c r="C36" s="79"/>
      <c r="D36" s="79"/>
      <c r="E36" s="79"/>
      <c r="F36" s="79"/>
      <c r="G36" s="79"/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">
    <mergeCell ref="A1:H1"/>
    <mergeCell ref="A3:G3"/>
    <mergeCell ref="A12:G12"/>
    <mergeCell ref="A17:G17"/>
    <mergeCell ref="A18:H18"/>
    <mergeCell ref="A35:G35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20"/>
    <col collapsed="false" customWidth="true" hidden="false" outlineLevel="0" max="5" min="5" style="1" width="40"/>
    <col collapsed="false" customWidth="true" hidden="false" outlineLevel="0" max="26" min="6" style="1" width="8.71"/>
  </cols>
  <sheetData>
    <row r="1" customFormat="false" ht="27.75" hidden="false" customHeight="true" outlineLevel="0" collapsed="false">
      <c r="A1" s="2" t="s">
        <v>151</v>
      </c>
      <c r="B1" s="2"/>
      <c r="C1" s="2"/>
      <c r="D1" s="2"/>
      <c r="E1" s="2"/>
    </row>
    <row r="2" customFormat="false" ht="15" hidden="false" customHeight="true" outlineLevel="0" collapsed="false"/>
    <row r="3" customFormat="false" ht="18" hidden="false" customHeight="true" outlineLevel="0" collapsed="false">
      <c r="A3" s="3" t="s">
        <v>152</v>
      </c>
      <c r="B3" s="3"/>
      <c r="C3" s="3"/>
      <c r="D3" s="3"/>
      <c r="E3" s="3"/>
    </row>
    <row r="4" customFormat="false" ht="25.5" hidden="false" customHeight="true" outlineLevel="0" collapsed="false">
      <c r="A4" s="87" t="s">
        <v>153</v>
      </c>
      <c r="B4" s="87"/>
      <c r="C4" s="87"/>
      <c r="D4" s="87"/>
      <c r="E4" s="87"/>
    </row>
    <row r="5" customFormat="false" ht="15.75" hidden="false" customHeight="true" outlineLevel="0" collapsed="false">
      <c r="A5" s="21" t="s">
        <v>154</v>
      </c>
      <c r="B5" s="88" t="s">
        <v>155</v>
      </c>
      <c r="C5" s="88"/>
      <c r="D5" s="88"/>
      <c r="E5" s="88"/>
    </row>
    <row r="6" customFormat="false" ht="15.75" hidden="false" customHeight="true" outlineLevel="0" collapsed="false">
      <c r="A6" s="89" t="s">
        <v>156</v>
      </c>
      <c r="B6" s="89" t="s">
        <v>157</v>
      </c>
      <c r="C6" s="89"/>
      <c r="D6" s="89"/>
      <c r="E6" s="89"/>
    </row>
    <row r="7" customFormat="false" ht="15.75" hidden="false" customHeight="true" outlineLevel="0" collapsed="false">
      <c r="A7" s="21" t="s">
        <v>158</v>
      </c>
      <c r="B7" s="88" t="s">
        <v>159</v>
      </c>
      <c r="C7" s="88"/>
      <c r="D7" s="88"/>
      <c r="E7" s="88"/>
    </row>
    <row r="8" customFormat="false" ht="15.75" hidden="false" customHeight="true" outlineLevel="0" collapsed="false">
      <c r="A8" s="21" t="s">
        <v>160</v>
      </c>
      <c r="B8" s="88" t="s">
        <v>161</v>
      </c>
      <c r="C8" s="88"/>
      <c r="D8" s="88"/>
      <c r="E8" s="88"/>
    </row>
    <row r="9" customFormat="false" ht="6" hidden="false" customHeight="true" outlineLevel="0" collapsed="false">
      <c r="A9" s="23"/>
      <c r="B9" s="23"/>
      <c r="C9" s="23"/>
      <c r="D9" s="23"/>
      <c r="E9" s="23"/>
    </row>
    <row r="10" customFormat="false" ht="18" hidden="false" customHeight="true" outlineLevel="0" collapsed="false">
      <c r="A10" s="78" t="s">
        <v>162</v>
      </c>
      <c r="B10" s="78"/>
      <c r="C10" s="78"/>
      <c r="D10" s="78"/>
      <c r="E10" s="78"/>
    </row>
    <row r="11" customFormat="false" ht="210" hidden="false" customHeight="true" outlineLevel="0" collapsed="false">
      <c r="A11" s="79" t="s">
        <v>163</v>
      </c>
      <c r="B11" s="79"/>
      <c r="C11" s="79"/>
      <c r="D11" s="79"/>
      <c r="E11" s="79"/>
    </row>
    <row r="12" customFormat="false" ht="18" hidden="false" customHeight="true" outlineLevel="0" collapsed="false">
      <c r="A12" s="78" t="s">
        <v>164</v>
      </c>
      <c r="B12" s="78"/>
      <c r="C12" s="78"/>
      <c r="D12" s="78"/>
      <c r="E12" s="78"/>
    </row>
    <row r="13" customFormat="false" ht="72" hidden="false" customHeight="true" outlineLevel="0" collapsed="false">
      <c r="A13" s="79" t="s">
        <v>165</v>
      </c>
      <c r="B13" s="79"/>
      <c r="C13" s="79"/>
      <c r="D13" s="79"/>
      <c r="E13" s="79"/>
    </row>
    <row r="14" customFormat="false" ht="18" hidden="false" customHeight="true" outlineLevel="0" collapsed="false">
      <c r="A14" s="78" t="s">
        <v>166</v>
      </c>
      <c r="B14" s="78"/>
      <c r="C14" s="78"/>
      <c r="D14" s="78"/>
      <c r="E14" s="78"/>
    </row>
    <row r="15" customFormat="false" ht="139.5" hidden="false" customHeight="true" outlineLevel="0" collapsed="false">
      <c r="A15" s="79" t="s">
        <v>167</v>
      </c>
      <c r="B15" s="79"/>
      <c r="C15" s="79"/>
      <c r="D15" s="79"/>
      <c r="E15" s="79"/>
    </row>
    <row r="16" customFormat="false" ht="7.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8" hidden="false" customHeight="true" outlineLevel="0" collapsed="false">
      <c r="A19" s="23"/>
      <c r="B19" s="23"/>
      <c r="C19" s="23"/>
      <c r="D19" s="23"/>
      <c r="E19" s="23"/>
    </row>
    <row r="20" customFormat="false" ht="15" hidden="false" customHeight="true" outlineLevel="0" collapsed="false">
      <c r="A20" s="23"/>
      <c r="B20" s="23"/>
      <c r="C20" s="23"/>
      <c r="D20" s="23"/>
      <c r="E20" s="23"/>
    </row>
    <row r="21" customFormat="false" ht="15" hidden="false" customHeight="true" outlineLevel="0" collapsed="false">
      <c r="A21" s="23"/>
      <c r="B21" s="23"/>
      <c r="C21" s="23"/>
      <c r="D21" s="23"/>
      <c r="E21" s="23"/>
    </row>
    <row r="22" customFormat="false" ht="15" hidden="false" customHeight="true" outlineLevel="0" collapsed="false">
      <c r="A22" s="23"/>
      <c r="B22" s="23"/>
      <c r="C22" s="23"/>
      <c r="D22" s="23"/>
      <c r="E22" s="23"/>
    </row>
    <row r="23" customFormat="false" ht="15" hidden="false" customHeight="true" outlineLevel="0" collapsed="false">
      <c r="A23" s="23"/>
      <c r="B23" s="23"/>
      <c r="C23" s="23"/>
      <c r="D23" s="23"/>
      <c r="E23" s="23"/>
    </row>
    <row r="24" customFormat="false" ht="15" hidden="false" customHeight="true" outlineLevel="0" collapsed="false">
      <c r="A24" s="23"/>
      <c r="B24" s="23"/>
      <c r="C24" s="23"/>
      <c r="D24" s="23"/>
      <c r="E24" s="23"/>
    </row>
    <row r="25" customFormat="false" ht="15" hidden="false" customHeight="true" outlineLevel="0" collapsed="false">
      <c r="A25" s="23"/>
      <c r="B25" s="23"/>
      <c r="C25" s="23"/>
      <c r="D25" s="23"/>
      <c r="E25" s="23"/>
    </row>
    <row r="26" customFormat="false" ht="15" hidden="false" customHeight="true" outlineLevel="0" collapsed="false">
      <c r="A26" s="90" t="s">
        <v>168</v>
      </c>
      <c r="B26" s="90"/>
      <c r="C26" s="90"/>
      <c r="D26" s="90"/>
      <c r="E26" s="90"/>
    </row>
    <row r="27" customFormat="false" ht="15" hidden="false" customHeight="true" outlineLevel="0" collapsed="false">
      <c r="A27" s="23"/>
      <c r="B27" s="23"/>
      <c r="C27" s="23"/>
      <c r="D27" s="23"/>
      <c r="E27" s="23"/>
    </row>
    <row r="28" customFormat="false" ht="15.75" hidden="false" customHeight="true" outlineLevel="0" collapsed="false">
      <c r="A28" s="24" t="s">
        <v>169</v>
      </c>
    </row>
    <row r="29" customFormat="false" ht="15.75" hidden="false" customHeight="true" outlineLevel="0" collapsed="false">
      <c r="A29" s="91" t="s">
        <v>55</v>
      </c>
      <c r="B29" s="92" t="n">
        <v>0.05750422124</v>
      </c>
      <c r="C29" s="93" t="s">
        <v>170</v>
      </c>
    </row>
    <row r="30" customFormat="false" ht="15.75" hidden="false" customHeight="true" outlineLevel="0" collapsed="false">
      <c r="A30" s="94" t="s">
        <v>171</v>
      </c>
      <c r="B30" s="95" t="n">
        <v>156.928</v>
      </c>
      <c r="C30" s="96" t="s">
        <v>172</v>
      </c>
      <c r="D30" s="97"/>
      <c r="E30" s="97"/>
    </row>
    <row r="31" customFormat="false" ht="15.75" hidden="false" customHeight="true" outlineLevel="0" collapsed="false">
      <c r="A31" s="91" t="s">
        <v>173</v>
      </c>
      <c r="B31" s="95" t="n">
        <v>698.56</v>
      </c>
      <c r="C31" s="98" t="str">
        <f aca="false">CONCATENATE("Approx. ",TEXT('2 - Calculations'!B26/('2 - Calculations'!B29)*100,"0.0"),"% of Enterprise Value")</f>
        <v>Approx. 81.7% of Enterprise Value</v>
      </c>
    </row>
    <row r="32" customFormat="false" ht="15.75" hidden="false" customHeight="true" outlineLevel="0" collapsed="false">
      <c r="A32" s="94" t="s">
        <v>174</v>
      </c>
      <c r="B32" s="95" t="n">
        <v>855.489</v>
      </c>
      <c r="C32" s="99" t="s">
        <v>175</v>
      </c>
      <c r="D32" s="97"/>
      <c r="E32" s="97"/>
    </row>
    <row r="33" customFormat="false" ht="15.75" hidden="false" customHeight="true" outlineLevel="0" collapsed="false">
      <c r="A33" s="91" t="s">
        <v>176</v>
      </c>
      <c r="B33" s="95" t="n">
        <v>32.856</v>
      </c>
      <c r="C33" s="100" t="s">
        <v>177</v>
      </c>
    </row>
    <row r="34" customFormat="false" ht="15.75" hidden="false" customHeight="true" outlineLevel="0" collapsed="false">
      <c r="A34" s="94" t="s">
        <v>178</v>
      </c>
      <c r="B34" s="95" t="n">
        <v>822.633</v>
      </c>
      <c r="C34" s="99" t="s">
        <v>179</v>
      </c>
      <c r="D34" s="97"/>
      <c r="E34" s="97"/>
    </row>
    <row r="35" customFormat="false" ht="15.75" hidden="false" customHeight="true" outlineLevel="0" collapsed="false">
      <c r="A35" s="91" t="s">
        <v>140</v>
      </c>
      <c r="B35" s="64" t="n">
        <v>191.09</v>
      </c>
      <c r="C35" s="98" t="s">
        <v>180</v>
      </c>
    </row>
    <row r="36" customFormat="false" ht="15.75" hidden="false" customHeight="true" outlineLevel="0" collapsed="false">
      <c r="A36" s="94" t="s">
        <v>125</v>
      </c>
      <c r="B36" s="101" t="n">
        <v>158.81</v>
      </c>
      <c r="C36" s="99" t="s">
        <v>181</v>
      </c>
      <c r="D36" s="97"/>
      <c r="E36" s="97"/>
    </row>
    <row r="37" customFormat="false" ht="15.75" hidden="false" customHeight="true" outlineLevel="0" collapsed="false">
      <c r="A37" s="91" t="s">
        <v>126</v>
      </c>
      <c r="B37" s="65" t="n">
        <v>0.2032</v>
      </c>
      <c r="C37" s="98" t="s">
        <v>182</v>
      </c>
    </row>
    <row r="38" customFormat="false" ht="15.75" hidden="false" customHeight="true" outlineLevel="0" collapsed="false">
      <c r="A38" s="94" t="s">
        <v>183</v>
      </c>
      <c r="B38" s="102" t="n">
        <v>266.89</v>
      </c>
      <c r="C38" s="96" t="s">
        <v>184</v>
      </c>
      <c r="D38" s="97"/>
      <c r="E38" s="97"/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>
      <c r="A41" s="24" t="s">
        <v>185</v>
      </c>
    </row>
    <row r="42" customFormat="false" ht="15.75" hidden="false" customHeight="true" outlineLevel="0" collapsed="false">
      <c r="A42" s="103" t="s">
        <v>186</v>
      </c>
    </row>
    <row r="43" customFormat="false" ht="15.75" hidden="false" customHeight="true" outlineLevel="0" collapsed="false">
      <c r="A43" s="103" t="s">
        <v>187</v>
      </c>
    </row>
    <row r="44" customFormat="false" ht="15.75" hidden="false" customHeight="true" outlineLevel="0" collapsed="false">
      <c r="A44" s="103" t="s">
        <v>188</v>
      </c>
    </row>
    <row r="45" customFormat="false" ht="15.75" hidden="false" customHeight="true" outlineLevel="0" collapsed="false">
      <c r="A45" s="103" t="s">
        <v>189</v>
      </c>
    </row>
    <row r="46" customFormat="false" ht="15.75" hidden="false" customHeight="true" outlineLevel="0" collapsed="false">
      <c r="A46" s="103" t="s">
        <v>190</v>
      </c>
    </row>
    <row r="47" customFormat="false" ht="15.75" hidden="false" customHeight="true" outlineLevel="0" collapsed="false">
      <c r="A47" s="103" t="s">
        <v>191</v>
      </c>
    </row>
    <row r="48" customFormat="false" ht="15.75" hidden="false" customHeight="true" outlineLevel="0" collapsed="false">
      <c r="A48" s="103" t="s">
        <v>192</v>
      </c>
    </row>
    <row r="49" customFormat="false" ht="15.75" hidden="false" customHeight="true" outlineLevel="0" collapsed="false">
      <c r="A49" s="103" t="s">
        <v>193</v>
      </c>
    </row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3">
    <mergeCell ref="A1:E1"/>
    <mergeCell ref="A3:E3"/>
    <mergeCell ref="A4:E4"/>
    <mergeCell ref="B5:E5"/>
    <mergeCell ref="A6:E6"/>
    <mergeCell ref="B7:E7"/>
    <mergeCell ref="B8:E8"/>
    <mergeCell ref="A9:E9"/>
    <mergeCell ref="A10:E10"/>
    <mergeCell ref="A11:E11"/>
    <mergeCell ref="A12:E12"/>
    <mergeCell ref="A13:E13"/>
    <mergeCell ref="A14:E14"/>
    <mergeCell ref="A15:E15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2026-03-17T20:14:20Z</dcterms:created>
  <dc:creator>openpyxl</dc:creator>
  <dc:description/>
  <dc:language>en-US</dc:language>
  <cp:lastModifiedBy/>
  <dcterms:modified xsi:type="dcterms:W3CDTF">2026-03-18T04:12:40Z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